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1A1A1A"/>
      <sz val="10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</fonts>
  <fills count="7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Jamison → Warrington</t>
        </is>
      </c>
      <c r="C4" s="4" t="n">
        <v>5</v>
      </c>
      <c r="D4" s="4" t="n">
        <v>5</v>
      </c>
      <c r="E4" s="4" t="n">
        <v>3</v>
      </c>
      <c r="F4" s="4" t="inlineStr">
        <is>
          <t>59 min</t>
        </is>
      </c>
      <c r="G4" s="4" t="inlineStr">
        <is>
          <t>23.5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Horsham</t>
        </is>
      </c>
      <c r="C6" s="4" t="n">
        <v>13</v>
      </c>
      <c r="D6" s="4" t="n">
        <v>13</v>
      </c>
      <c r="E6" s="4" t="n">
        <v>9</v>
      </c>
      <c r="F6" s="4" t="inlineStr">
        <is>
          <t>1 hr 31 min</t>
        </is>
      </c>
      <c r="G6" s="4" t="inlineStr">
        <is>
          <t>39.0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Ambler → Maple Glen</t>
        </is>
      </c>
      <c r="C7" s="6" t="n">
        <v>13</v>
      </c>
      <c r="D7" s="6" t="n">
        <v>13</v>
      </c>
      <c r="E7" s="6" t="n">
        <v>7</v>
      </c>
      <c r="F7" s="6" t="inlineStr">
        <is>
          <t>1 hr 12 min</t>
        </is>
      </c>
      <c r="G7" s="6" t="inlineStr">
        <is>
          <t>44.1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 |  Quakertown PA → Doylestown</t>
        </is>
      </c>
      <c r="C8" s="4" t="n">
        <v>13</v>
      </c>
      <c r="D8" s="4" t="n">
        <v>11</v>
      </c>
      <c r="E8" s="4" t="n">
        <v>6</v>
      </c>
      <c r="F8" s="4" t="inlineStr">
        <is>
          <t>1 hr 1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6" t="inlineStr">
        <is>
          <t>Vehicle F</t>
        </is>
      </c>
      <c r="B9" s="7" t="inlineStr">
        <is>
          <t>1045 N West End Blvd , Quakertown PA  |  Quakertown PA → Doylestown → Chalfont → Warrington</t>
        </is>
      </c>
      <c r="C9" s="6" t="n">
        <v>13</v>
      </c>
      <c r="D9" s="6" t="n">
        <v>9</v>
      </c>
      <c r="E9" s="6" t="n">
        <v>5</v>
      </c>
      <c r="F9" s="6" t="inlineStr">
        <is>
          <t>1 hr 1 min</t>
        </is>
      </c>
      <c r="G9" s="6" t="inlineStr">
        <is>
          <t>30.5 mi</t>
        </is>
      </c>
      <c r="H9" s="6" t="inlineStr">
        <is>
          <t>69%</t>
        </is>
      </c>
    </row>
    <row r="10" ht="15" customHeight="1">
      <c r="A10" s="4" t="inlineStr">
        <is>
          <t>Vehicle G</t>
        </is>
      </c>
      <c r="B10" s="5" t="inlineStr">
        <is>
          <t>828 Elbow Lane, Warrington, PA 18976  |  Warrington → Willow Grove → Dresher → Horsham</t>
        </is>
      </c>
      <c r="C10" s="4" t="n">
        <v>13</v>
      </c>
      <c r="D10" s="4" t="n">
        <v>13</v>
      </c>
      <c r="E10" s="4" t="n">
        <v>9</v>
      </c>
      <c r="F10" s="4" t="inlineStr">
        <is>
          <t>1 hr 23 min</t>
        </is>
      </c>
      <c r="G10" s="4" t="inlineStr">
        <is>
          <t>34.9 mi</t>
        </is>
      </c>
      <c r="H10" s="4" t="inlineStr">
        <is>
          <t>100%</t>
        </is>
      </c>
    </row>
    <row r="11" ht="18" customHeight="1">
      <c r="A11" s="8" t="inlineStr">
        <is>
          <t>TOTAL  (77 riders / 83 capacity / 7 vehicles)</t>
        </is>
      </c>
      <c r="C11" s="9" t="n">
        <v>83</v>
      </c>
      <c r="D11" s="9">
        <f>SUM(D4:D10)</f>
        <v/>
      </c>
      <c r="E11" s="9">
        <f>SUM(E4:E10)</f>
        <v/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3" ht="28" customHeight="1">
      <c r="A13" s="10" t="inlineStr">
        <is>
          <t>All vehicles at ≥ 75% capacity  |  Drive times via OSRM road-network routing  |  Clustering by real geocoded addresses (OpenStreetMap) — ZIP codes ignored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A  —  Route Sheet</t>
        </is>
      </c>
    </row>
    <row r="2" ht="16" customHeight="1">
      <c r="A2" s="12" t="inlineStr">
        <is>
          <t>Start: 7826 Loretto Ave, Philadelphia, PA   |   Cap: 5   |   Riders: 5 (100%)   |   Total Route: 59 min, 23.5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7826 Loretto Ave, Philadelphia,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1327 Dogwood Dr, Jamison, PA 18929</t>
        </is>
      </c>
      <c r="C5" s="5" t="inlineStr">
        <is>
          <t>Etkowicz1, Etkowicz2</t>
        </is>
      </c>
      <c r="D5" s="4" t="n">
        <v>2</v>
      </c>
      <c r="E5" s="5" t="inlineStr">
        <is>
          <t>41 min from garage</t>
        </is>
      </c>
    </row>
    <row r="6" ht="14" customHeight="1">
      <c r="A6" s="19" t="n">
        <v>2</v>
      </c>
      <c r="B6" s="7" t="inlineStr">
        <is>
          <t>1514 Huntly Dr, Warrington, PA 18976</t>
        </is>
      </c>
      <c r="C6" s="7" t="inlineStr">
        <is>
          <t>Katchur</t>
        </is>
      </c>
      <c r="D6" s="6" t="n">
        <v>1</v>
      </c>
      <c r="E6" s="7" t="inlineStr">
        <is>
          <t>9 min</t>
        </is>
      </c>
    </row>
    <row r="7" ht="14" customHeight="1">
      <c r="A7" s="18" t="n">
        <v>3</v>
      </c>
      <c r="B7" s="5" t="inlineStr">
        <is>
          <t>1411 W Fernbrook Dr, Warrington, PA 18976</t>
        </is>
      </c>
      <c r="C7" s="5" t="inlineStr">
        <is>
          <t>Kirshe1, Kirshe2</t>
        </is>
      </c>
      <c r="D7" s="4" t="n">
        <v>2</v>
      </c>
      <c r="E7" s="5" t="inlineStr">
        <is>
          <t>1 min</t>
        </is>
      </c>
    </row>
    <row r="8" ht="16" customHeight="1">
      <c r="A8" s="20" t="inlineStr">
        <is>
          <t>ARRIVE</t>
        </is>
      </c>
      <c r="B8" s="21" t="inlineStr">
        <is>
          <t>828 Elbow Lane, Warrington, PA 18976</t>
        </is>
      </c>
      <c r="C8" s="20" t="inlineStr">
        <is>
          <t>—</t>
        </is>
      </c>
      <c r="D8" s="20" t="inlineStr">
        <is>
          <t>—</t>
        </is>
      </c>
      <c r="E8" s="20" t="inlineStr">
        <is>
          <t>4 min → ARRIVE</t>
        </is>
      </c>
    </row>
    <row r="9">
      <c r="D9" s="22" t="inlineStr">
        <is>
          <t>Total Riders:</t>
        </is>
      </c>
      <c r="E9" s="23">
        <f>SUM(D5:D7)</f>
        <v/>
      </c>
    </row>
    <row r="10">
      <c r="A10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B  —  Route Sheet</t>
        </is>
      </c>
    </row>
    <row r="2" ht="16" customHeight="1">
      <c r="A2" s="12" t="inlineStr">
        <is>
          <t>Start: 12 Rachel Rd, Richboro, PA   |   Cap: 13   |   Riders: 13 (100%)   |   Total Route: 51 min, 19.5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12 Rachel Rd, Richboro,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garage</t>
        </is>
      </c>
    </row>
    <row r="6" ht="14" customHeight="1">
      <c r="A6" s="19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18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19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18" t="n">
        <v>5</v>
      </c>
      <c r="B9" s="5" t="inlineStr">
        <is>
          <t>14 Timber Ln, Hatboro, PA 19040</t>
        </is>
      </c>
      <c r="C9" s="5" t="inlineStr">
        <is>
          <t>Boyd1, Boyd2</t>
        </is>
      </c>
      <c r="D9" s="4" t="n">
        <v>2</v>
      </c>
      <c r="E9" s="5" t="inlineStr">
        <is>
          <t>11 min</t>
        </is>
      </c>
    </row>
    <row r="10" ht="14" customHeight="1">
      <c r="A10" s="19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0" t="inlineStr">
        <is>
          <t>ARRIVE</t>
        </is>
      </c>
      <c r="B11" s="21" t="inlineStr">
        <is>
          <t>828 Elbow Lane, Warrington, PA 18976</t>
        </is>
      </c>
      <c r="C11" s="20" t="inlineStr">
        <is>
          <t>—</t>
        </is>
      </c>
      <c r="D11" s="20" t="inlineStr">
        <is>
          <t>—</t>
        </is>
      </c>
      <c r="E11" s="20" t="inlineStr">
        <is>
          <t>16 min → ARRIVE</t>
        </is>
      </c>
    </row>
    <row r="12">
      <c r="D12" s="22" t="inlineStr">
        <is>
          <t>Total Riders:</t>
        </is>
      </c>
      <c r="E12" s="23">
        <f>SUM(D5:D10)</f>
        <v/>
      </c>
    </row>
    <row r="13">
      <c r="A13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C  —  Route Sheet</t>
        </is>
      </c>
    </row>
    <row r="2" ht="16" customHeight="1">
      <c r="A2" s="12" t="inlineStr">
        <is>
          <t>Start: 2611 DeKalb Pike, East Norriton, PA   |   Cap: 13   |   Riders: 13 (100%)   |   Total Route: 1 hr 31 min, 39.0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2611 DeKalb Pike, East Norriton,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garage</t>
        </is>
      </c>
    </row>
    <row r="6" ht="14" customHeight="1">
      <c r="A6" s="19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18" t="n">
        <v>3</v>
      </c>
      <c r="B7" s="5" t="inlineStr">
        <is>
          <t>420 Wyndon Rd, Ambler, PA 19002</t>
        </is>
      </c>
      <c r="C7" s="5" t="inlineStr">
        <is>
          <t>Honer1, Honer2</t>
        </is>
      </c>
      <c r="D7" s="4" t="n">
        <v>2</v>
      </c>
      <c r="E7" s="5" t="inlineStr">
        <is>
          <t>3 min</t>
        </is>
      </c>
    </row>
    <row r="8" ht="14" customHeight="1">
      <c r="A8" s="19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18" t="n">
        <v>5</v>
      </c>
      <c r="B9" s="5" t="inlineStr">
        <is>
          <t>1700 Thornbury Ln, Maple Glen, PA 19002</t>
        </is>
      </c>
      <c r="C9" s="5" t="inlineStr">
        <is>
          <t>Marmer</t>
        </is>
      </c>
      <c r="D9" s="4" t="n">
        <v>1</v>
      </c>
      <c r="E9" s="5" t="inlineStr">
        <is>
          <t>4 min</t>
        </is>
      </c>
    </row>
    <row r="10" ht="14" customHeight="1">
      <c r="A10" s="19" t="n">
        <v>6</v>
      </c>
      <c r="B10" s="7" t="inlineStr">
        <is>
          <t>1700 Penns Ln, Ambler, PA 19002</t>
        </is>
      </c>
      <c r="C10" s="7" t="inlineStr">
        <is>
          <t>Lazor</t>
        </is>
      </c>
      <c r="D10" s="6" t="n">
        <v>1</v>
      </c>
      <c r="E10" s="7" t="inlineStr">
        <is>
          <t>2 min</t>
        </is>
      </c>
    </row>
    <row r="11" ht="14" customHeight="1">
      <c r="A11" s="18" t="n">
        <v>7</v>
      </c>
      <c r="B11" s="5" t="inlineStr">
        <is>
          <t>508 Blackburn Ct, Chalfont, PA 18914</t>
        </is>
      </c>
      <c r="C11" s="5" t="inlineStr">
        <is>
          <t>Matkowski</t>
        </is>
      </c>
      <c r="D11" s="4" t="n">
        <v>1</v>
      </c>
      <c r="E11" s="5" t="inlineStr">
        <is>
          <t>16 min</t>
        </is>
      </c>
    </row>
    <row r="12" ht="14" customHeight="1">
      <c r="A12" s="19" t="n">
        <v>8</v>
      </c>
      <c r="B12" s="7" t="inlineStr">
        <is>
          <t>210 Somerset Cir, Chalfont, PA 18914</t>
        </is>
      </c>
      <c r="C12" s="7" t="inlineStr">
        <is>
          <t>Evans</t>
        </is>
      </c>
      <c r="D12" s="6" t="n">
        <v>1</v>
      </c>
      <c r="E12" s="7" t="inlineStr">
        <is>
          <t>3 min</t>
        </is>
      </c>
    </row>
    <row r="13" ht="14" customHeight="1">
      <c r="A13" s="18" t="n">
        <v>9</v>
      </c>
      <c r="B13" s="5" t="inlineStr">
        <is>
          <t>3016 Delmonico St, Chalfont, PA 18914</t>
        </is>
      </c>
      <c r="C13" s="5" t="inlineStr">
        <is>
          <t>Keenan1, Keenan2</t>
        </is>
      </c>
      <c r="D13" s="4" t="n">
        <v>2</v>
      </c>
      <c r="E13" s="5" t="inlineStr">
        <is>
          <t>5 min</t>
        </is>
      </c>
    </row>
    <row r="14" ht="16" customHeight="1">
      <c r="A14" s="20" t="inlineStr">
        <is>
          <t>ARRIVE</t>
        </is>
      </c>
      <c r="B14" s="21" t="inlineStr">
        <is>
          <t>828 Elbow Lane, Warrington, PA 18976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12 min → ARRIVE</t>
        </is>
      </c>
    </row>
    <row r="15">
      <c r="D15" s="22" t="inlineStr">
        <is>
          <t>Total Riders:</t>
        </is>
      </c>
      <c r="E15" s="23">
        <f>SUM(D5:D13)</f>
        <v/>
      </c>
    </row>
    <row r="16">
      <c r="A16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D  —  Route Sheet</t>
        </is>
      </c>
    </row>
    <row r="2" ht="16" customHeight="1">
      <c r="A2" s="12" t="inlineStr">
        <is>
          <t>Start: 1045 N West End Blvd , Quakertown PA   |   Cap: 13   |   Riders: 13 (100%)   |   Total Route: 1 hr 12 min, 44.1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515 Highland Ave, Ambler, PA 19002</t>
        </is>
      </c>
      <c r="C5" s="5" t="inlineStr">
        <is>
          <t>Rahill</t>
        </is>
      </c>
      <c r="D5" s="4" t="n">
        <v>1</v>
      </c>
      <c r="E5" s="5" t="inlineStr">
        <is>
          <t>42 min from garage</t>
        </is>
      </c>
    </row>
    <row r="6" ht="14" customHeight="1">
      <c r="A6" s="19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18" t="n">
        <v>3</v>
      </c>
      <c r="B7" s="5" t="inlineStr">
        <is>
          <t>1426 Shetland Pl, Ambler, PA 19002</t>
        </is>
      </c>
      <c r="C7" s="5" t="inlineStr">
        <is>
          <t>Merenlender1, Merenlender2</t>
        </is>
      </c>
      <c r="D7" s="4" t="n">
        <v>2</v>
      </c>
      <c r="E7" s="5" t="inlineStr">
        <is>
          <t>4 min</t>
        </is>
      </c>
    </row>
    <row r="8" ht="14" customHeight="1">
      <c r="A8" s="19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18" t="n">
        <v>5</v>
      </c>
      <c r="B9" s="5" t="inlineStr">
        <is>
          <t>103 Derby Ct, Maple Glen, PA 19002</t>
        </is>
      </c>
      <c r="C9" s="5" t="inlineStr">
        <is>
          <t>Forti, Forti - JC</t>
        </is>
      </c>
      <c r="D9" s="4" t="n">
        <v>2</v>
      </c>
      <c r="E9" s="5" t="inlineStr">
        <is>
          <t>3 min</t>
        </is>
      </c>
    </row>
    <row r="10" ht="14" customHeight="1">
      <c r="A10" s="19" t="n">
        <v>6</v>
      </c>
      <c r="B10" s="7" t="inlineStr">
        <is>
          <t>1703 Clinton Dr, Ambler, PA 19002</t>
        </is>
      </c>
      <c r="C10" s="7" t="inlineStr">
        <is>
          <t>Porter, Porter - JC</t>
        </is>
      </c>
      <c r="D10" s="6" t="n">
        <v>2</v>
      </c>
      <c r="E10" s="7" t="inlineStr">
        <is>
          <t>4 min</t>
        </is>
      </c>
    </row>
    <row r="11" ht="14" customHeight="1">
      <c r="A11" s="18" t="n">
        <v>7</v>
      </c>
      <c r="B11" s="5" t="inlineStr">
        <is>
          <t>309 Stout Rd, Ambler, PA 19002</t>
        </is>
      </c>
      <c r="C11" s="5" t="inlineStr">
        <is>
          <t>Saretsky1, Saretsky2</t>
        </is>
      </c>
      <c r="D11" s="4" t="n">
        <v>2</v>
      </c>
      <c r="E11" s="5" t="inlineStr">
        <is>
          <t>2 min</t>
        </is>
      </c>
    </row>
    <row r="12" ht="16" customHeight="1">
      <c r="A12" s="20" t="inlineStr">
        <is>
          <t>ARRIVE</t>
        </is>
      </c>
      <c r="B12" s="21" t="inlineStr">
        <is>
          <t>828 Elbow Lane, Warrington, PA 18976</t>
        </is>
      </c>
      <c r="C12" s="20" t="inlineStr">
        <is>
          <t>—</t>
        </is>
      </c>
      <c r="D12" s="20" t="inlineStr">
        <is>
          <t>—</t>
        </is>
      </c>
      <c r="E12" s="20" t="inlineStr">
        <is>
          <t>16 min → ARRIVE</t>
        </is>
      </c>
    </row>
    <row r="13">
      <c r="D13" s="22" t="inlineStr">
        <is>
          <t>Total Riders:</t>
        </is>
      </c>
      <c r="E13" s="23">
        <f>SUM(D5:D11)</f>
        <v/>
      </c>
    </row>
    <row r="14">
      <c r="A14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E  —  Route Sheet</t>
        </is>
      </c>
    </row>
    <row r="2" ht="16" customHeight="1">
      <c r="A2" s="12" t="inlineStr">
        <is>
          <t>Start: 1045 N West End Blvd , Quakertown PA   |   Cap: 13   |   Riders: 11 (85%)   |   Total Route: 1 hr 1 min, 33.7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garage</t>
        </is>
      </c>
    </row>
    <row r="6" ht="14" customHeight="1">
      <c r="A6" s="19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18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19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18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19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0" t="inlineStr">
        <is>
          <t>ARRIVE</t>
        </is>
      </c>
      <c r="B11" s="21" t="inlineStr">
        <is>
          <t>828 Elbow Lane, Warrington, PA 18976</t>
        </is>
      </c>
      <c r="C11" s="20" t="inlineStr">
        <is>
          <t>—</t>
        </is>
      </c>
      <c r="D11" s="20" t="inlineStr">
        <is>
          <t>—</t>
        </is>
      </c>
      <c r="E11" s="20" t="inlineStr">
        <is>
          <t>10 min → ARRIVE</t>
        </is>
      </c>
    </row>
    <row r="12">
      <c r="D12" s="22" t="inlineStr">
        <is>
          <t>Total Riders:</t>
        </is>
      </c>
      <c r="E12" s="23">
        <f>SUM(D5:D10)</f>
        <v/>
      </c>
    </row>
    <row r="13">
      <c r="A13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F  —  Route Sheet</t>
        </is>
      </c>
    </row>
    <row r="2" ht="16" customHeight="1">
      <c r="A2" s="12" t="inlineStr">
        <is>
          <t>Start: 1045 N West End Blvd , Quakertown PA   |   Cap: 13   |   Riders: 9 (69%)   |   Total Route: 1 hr 1 min, 30.5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21 Bittersweet Dr, Doylestown, PA 18901</t>
        </is>
      </c>
      <c r="C5" s="5" t="inlineStr">
        <is>
          <t>Thomas</t>
        </is>
      </c>
      <c r="D5" s="4" t="n">
        <v>1</v>
      </c>
      <c r="E5" s="5" t="inlineStr">
        <is>
          <t>38 min from garage</t>
        </is>
      </c>
    </row>
    <row r="6" ht="14" customHeight="1">
      <c r="A6" s="19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18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3 min</t>
        </is>
      </c>
    </row>
    <row r="8" ht="14" customHeight="1">
      <c r="A8" s="19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18" t="n">
        <v>5</v>
      </c>
      <c r="B9" s="5" t="inlineStr">
        <is>
          <t>451 Cartwell Ave, Warrington, PA 18976</t>
        </is>
      </c>
      <c r="C9" s="5" t="inlineStr">
        <is>
          <t>Gower1, Gower2, Gower3</t>
        </is>
      </c>
      <c r="D9" s="4" t="n">
        <v>3</v>
      </c>
      <c r="E9" s="5" t="inlineStr">
        <is>
          <t>2 min</t>
        </is>
      </c>
    </row>
    <row r="10" ht="16" customHeight="1">
      <c r="A10" s="20" t="inlineStr">
        <is>
          <t>ARRIVE</t>
        </is>
      </c>
      <c r="B10" s="21" t="inlineStr">
        <is>
          <t>828 Elbow Lane, Warrington, PA 18976</t>
        </is>
      </c>
      <c r="C10" s="20" t="inlineStr">
        <is>
          <t>—</t>
        </is>
      </c>
      <c r="D10" s="20" t="inlineStr">
        <is>
          <t>—</t>
        </is>
      </c>
      <c r="E10" s="20" t="inlineStr">
        <is>
          <t>3 min → ARRIVE</t>
        </is>
      </c>
    </row>
    <row r="11">
      <c r="D11" s="22" t="inlineStr">
        <is>
          <t>Total Riders:</t>
        </is>
      </c>
      <c r="E11" s="23">
        <f>SUM(D5:D9)</f>
        <v/>
      </c>
    </row>
    <row r="12">
      <c r="A12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G  —  Route Sheet</t>
        </is>
      </c>
    </row>
    <row r="2" ht="16" customHeight="1">
      <c r="A2" s="12" t="inlineStr">
        <is>
          <t>Start: 828 Elbow Lane, Warrington, PA 18976   |   Cap: 13   |   Riders: 13 (100%)   |   Total Route: 1 hr 23 min, 34.9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828 Elbow Lane, Warrington, PA 18976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garage</t>
        </is>
      </c>
    </row>
    <row r="6" ht="14" customHeight="1">
      <c r="A6" s="19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18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19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18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7 min</t>
        </is>
      </c>
    </row>
    <row r="10" ht="14" customHeight="1">
      <c r="A10" s="19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18" t="n">
        <v>7</v>
      </c>
      <c r="B11" s="5" t="inlineStr">
        <is>
          <t>116 Manor Dr, Lansdale, PA 19446-1677</t>
        </is>
      </c>
      <c r="C11" s="5" t="inlineStr">
        <is>
          <t>Ratcliffe</t>
        </is>
      </c>
      <c r="D11" s="4" t="n">
        <v>1</v>
      </c>
      <c r="E11" s="5" t="inlineStr">
        <is>
          <t>6 min</t>
        </is>
      </c>
    </row>
    <row r="12" ht="14" customHeight="1">
      <c r="A12" s="19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18" t="n">
        <v>9</v>
      </c>
      <c r="B13" s="5" t="inlineStr">
        <is>
          <t>108 Country Ln, Lansdale, PA 19446</t>
        </is>
      </c>
      <c r="C13" s="5" t="inlineStr">
        <is>
          <t>Strauss1, Strauss2</t>
        </is>
      </c>
      <c r="D13" s="4" t="n">
        <v>2</v>
      </c>
      <c r="E13" s="5" t="inlineStr">
        <is>
          <t>2 min</t>
        </is>
      </c>
    </row>
    <row r="14" ht="16" customHeight="1">
      <c r="A14" s="20" t="inlineStr">
        <is>
          <t>ARRIVE</t>
        </is>
      </c>
      <c r="B14" s="21" t="inlineStr">
        <is>
          <t>828 Elbow Lane, Warrington, PA 18976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18 min → ARRIVE</t>
        </is>
      </c>
    </row>
    <row r="15">
      <c r="D15" s="22" t="inlineStr">
        <is>
          <t>Total Riders:</t>
        </is>
      </c>
      <c r="E15" s="23">
        <f>SUM(D5:D13)</f>
        <v/>
      </c>
    </row>
    <row r="16">
      <c r="A16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2026-03-18T17:41:40Z</dcterms:created>
  <dcterms:modified xsi:type="dcterms:W3CDTF">2026-03-18T17:41:40Z</dcterms:modified>
</cp:coreProperties>
</file>