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7B3F00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| Kids Ride Time excludes garage-to-first-stop deadhead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Jamison</t>
        </is>
      </c>
      <c r="C4" s="4" t="n">
        <v>5</v>
      </c>
      <c r="D4" s="4" t="n">
        <v>2</v>
      </c>
      <c r="E4" s="4" t="n">
        <v>1</v>
      </c>
      <c r="F4" s="4" t="inlineStr">
        <is>
          <t>13 min</t>
        </is>
      </c>
      <c r="G4" s="4" t="inlineStr">
        <is>
          <t>23.3 mi</t>
        </is>
      </c>
      <c r="H4" s="4" t="inlineStr">
        <is>
          <t>40% !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-&gt; Richboro -&gt; Ivyland -&gt;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8" t="inlineStr">
        <is>
          <t>Vehicle C</t>
        </is>
      </c>
      <c r="B6" s="9" t="inlineStr">
        <is>
          <t>2611 DeKalb Pike, East Norriton, PA | East Norriton -&gt; Lansdale -&gt; Ambler -&gt; Chalfont</t>
        </is>
      </c>
      <c r="C6" s="8" t="n">
        <v>13</v>
      </c>
      <c r="D6" s="8" t="n">
        <v>13</v>
      </c>
      <c r="E6" s="8" t="n">
        <v>8</v>
      </c>
      <c r="F6" s="8" t="inlineStr">
        <is>
          <t>1 hr 21 min</t>
        </is>
      </c>
      <c r="G6" s="8" t="inlineStr">
        <is>
          <t>47.5 mi</t>
        </is>
      </c>
      <c r="H6" s="8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-&gt; Doylestown</t>
        </is>
      </c>
      <c r="C7" s="6" t="n">
        <v>13</v>
      </c>
      <c r="D7" s="6" t="n">
        <v>11</v>
      </c>
      <c r="E7" s="6" t="n">
        <v>6</v>
      </c>
      <c r="F7" s="6" t="inlineStr">
        <is>
          <t>20 min</t>
        </is>
      </c>
      <c r="G7" s="6" t="inlineStr">
        <is>
          <t>33.7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| Quakertown PA -&gt; Doylestown -&gt; Chalfont -&gt; Warrington</t>
        </is>
      </c>
      <c r="C8" s="8" t="n">
        <v>13</v>
      </c>
      <c r="D8" s="8" t="n">
        <v>9</v>
      </c>
      <c r="E8" s="8" t="n">
        <v>5</v>
      </c>
      <c r="F8" s="8" t="inlineStr">
        <is>
          <t>23 min</t>
        </is>
      </c>
      <c r="G8" s="8" t="inlineStr">
        <is>
          <t>30.5 mi</t>
        </is>
      </c>
      <c r="H8" s="8" t="inlineStr">
        <is>
          <t>69%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| Warrington -&gt; Willow Grove -&gt; Dresher -&gt; Horsham</t>
        </is>
      </c>
      <c r="C9" s="6" t="n">
        <v>13</v>
      </c>
      <c r="D9" s="6" t="n">
        <v>13</v>
      </c>
      <c r="E9" s="6" t="n">
        <v>9</v>
      </c>
      <c r="F9" s="6" t="inlineStr">
        <is>
          <t>1 hr 3 min</t>
        </is>
      </c>
      <c r="G9" s="6" t="inlineStr">
        <is>
          <t>34.9 mi</t>
        </is>
      </c>
      <c r="H9" s="6" t="inlineStr">
        <is>
          <t>100%</t>
        </is>
      </c>
    </row>
    <row r="10" ht="15" customHeight="1">
      <c r="A10" s="8" t="inlineStr">
        <is>
          <t>Vehicle H</t>
        </is>
      </c>
      <c r="B10" s="9" t="inlineStr">
        <is>
          <t>828 Elbow Lane, Warrington, PA 18976 | Warrington -&gt; Ambler -&gt; Maple Glen -&gt; Horsham</t>
        </is>
      </c>
      <c r="C10" s="8" t="n">
        <v>16</v>
      </c>
      <c r="D10" s="8" t="n">
        <v>16</v>
      </c>
      <c r="E10" s="8" t="n">
        <v>10</v>
      </c>
      <c r="F10" s="8" t="inlineStr">
        <is>
          <t>33 min</t>
        </is>
      </c>
      <c r="G10" s="8" t="inlineStr">
        <is>
          <t>22.2 mi</t>
        </is>
      </c>
      <c r="H10" s="8" t="inlineStr">
        <is>
          <t>100%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 These vehicles serve geographically isolated stops.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2 (40%) | Kids Ride Time: 13 min, 23.3 mi ! Below threshold -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1327 Dogwood Dr, Jamison, PA 18929</t>
        </is>
      </c>
      <c r="C5" s="9" t="inlineStr">
        <is>
          <t>Etkowicz1, Etkowicz2</t>
        </is>
      </c>
      <c r="D5" s="8" t="n">
        <v>2</v>
      </c>
      <c r="E5" s="9" t="inlineStr">
        <is>
          <t>41 min from garage</t>
        </is>
      </c>
    </row>
    <row r="6" ht="16" customHeight="1">
      <c r="A6" s="21" t="inlineStr">
        <is>
          <t>ARRIVE</t>
        </is>
      </c>
      <c r="B6" s="22" t="inlineStr">
        <is>
          <t>828 Elbow Lane, Warrington, PA 18976</t>
        </is>
      </c>
      <c r="C6" s="21" t="inlineStr">
        <is>
          <t>---</t>
        </is>
      </c>
      <c r="D6" s="21" t="inlineStr">
        <is>
          <t>---</t>
        </is>
      </c>
      <c r="E6" s="21" t="inlineStr">
        <is>
          <t>9 min -&gt; ARRIVE</t>
        </is>
      </c>
    </row>
    <row r="7">
      <c r="D7" s="23" t="inlineStr">
        <is>
          <t>Total Riders:</t>
        </is>
      </c>
      <c r="E7" s="24">
        <f>SUM(D5:D5)</f>
        <v/>
      </c>
    </row>
    <row r="8">
      <c r="A8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26" t="inlineStr">
        <is>
          <t>Start: 12 Rachel Rd, Richboro, PA | Cap: 13 | Riders: 13 (100%) | Kids Ride Time: 51 min, 19.5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12 Rachel Rd, Richboro, PA 18954</t>
        </is>
      </c>
      <c r="C5" s="9" t="inlineStr">
        <is>
          <t>Celona1, Celona2, Celona3</t>
        </is>
      </c>
      <c r="D5" s="8" t="n">
        <v>3</v>
      </c>
      <c r="E5" s="9" t="inlineStr">
        <is>
          <t>1 min from garage</t>
        </is>
      </c>
    </row>
    <row r="6" ht="14" customHeight="1">
      <c r="A6" s="27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127 Milbob Dr, Ivyland, PA 18974</t>
        </is>
      </c>
      <c r="C7" s="9" t="inlineStr">
        <is>
          <t>Papadeas1, Papadeas2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14 Timber Ln, Hatboro, PA 19040</t>
        </is>
      </c>
      <c r="C9" s="9" t="inlineStr">
        <is>
          <t>Boyd1, Boyd2</t>
        </is>
      </c>
      <c r="D9" s="8" t="n">
        <v>2</v>
      </c>
      <c r="E9" s="9" t="inlineStr">
        <is>
          <t>11 min</t>
        </is>
      </c>
    </row>
    <row r="10" ht="14" customHeight="1">
      <c r="A10" s="27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16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26" t="inlineStr">
        <is>
          <t>Start: 2611 DeKalb Pike, East Norriton, PA | Cap: 13 | Riders: 13 (100%) | Kids Ride Time: 1 hr 21 min, 47.5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1335 Michael Way, Lansdale, PA 19446-4443</t>
        </is>
      </c>
      <c r="C5" s="9" t="inlineStr">
        <is>
          <t>Hayes1, Hayes2</t>
        </is>
      </c>
      <c r="D5" s="8" t="n">
        <v>2</v>
      </c>
      <c r="E5" s="9" t="inlineStr">
        <is>
          <t>23 min from garage</t>
        </is>
      </c>
    </row>
    <row r="6" ht="14" customHeight="1">
      <c r="A6" s="27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9" t="inlineStr">
        <is>
          <t>420 Wyndon Rd, Ambler, PA 19002</t>
        </is>
      </c>
      <c r="C7" s="9" t="inlineStr">
        <is>
          <t>Honer1, Honer2</t>
        </is>
      </c>
      <c r="D7" s="8" t="n">
        <v>2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15 min</t>
        </is>
      </c>
    </row>
    <row r="9" ht="14" customHeight="1">
      <c r="A9" s="20" t="n">
        <v>5</v>
      </c>
      <c r="B9" s="9" t="inlineStr">
        <is>
          <t>210 Somerset Cir, Chalfont, PA 18914</t>
        </is>
      </c>
      <c r="C9" s="9" t="inlineStr">
        <is>
          <t>Evans</t>
        </is>
      </c>
      <c r="D9" s="8" t="n">
        <v>1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1514 Huntly Dr, Warrington, PA 18976</t>
        </is>
      </c>
      <c r="C10" s="7" t="inlineStr">
        <is>
          <t>Katchur</t>
        </is>
      </c>
      <c r="D10" s="6" t="n">
        <v>1</v>
      </c>
      <c r="E10" s="7" t="inlineStr">
        <is>
          <t>12 min</t>
        </is>
      </c>
    </row>
    <row r="11" ht="14" customHeight="1">
      <c r="A11" s="20" t="n">
        <v>7</v>
      </c>
      <c r="B11" s="9" t="inlineStr">
        <is>
          <t>1411 W Fernbrook Dr, Warrington, PA 18976</t>
        </is>
      </c>
      <c r="C11" s="9" t="inlineStr">
        <is>
          <t>Kirshe1, Kirshe2</t>
        </is>
      </c>
      <c r="D11" s="8" t="n">
        <v>2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15 min</t>
        </is>
      </c>
    </row>
    <row r="13" ht="16" customHeight="1">
      <c r="A13" s="21" t="inlineStr">
        <is>
          <t>ARRIVE</t>
        </is>
      </c>
      <c r="B13" s="22" t="inlineStr">
        <is>
          <t>828 Elbow Lane, Warrington, PA 18976</t>
        </is>
      </c>
      <c r="C13" s="21" t="inlineStr">
        <is>
          <t>---</t>
        </is>
      </c>
      <c r="D13" s="21" t="inlineStr">
        <is>
          <t>---</t>
        </is>
      </c>
      <c r="E13" s="21" t="inlineStr">
        <is>
          <t>12 min -&gt; ARRIVE</t>
        </is>
      </c>
    </row>
    <row r="14">
      <c r="D14" s="23" t="inlineStr">
        <is>
          <t>Total Riders:</t>
        </is>
      </c>
      <c r="E14" s="24">
        <f>SUM(D5:D12)</f>
        <v/>
      </c>
    </row>
    <row r="15">
      <c r="A15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26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4778 Essex Dr, Doylestown, PA 18902</t>
        </is>
      </c>
      <c r="C5" s="9" t="inlineStr">
        <is>
          <t>Farrell1, Farrell2</t>
        </is>
      </c>
      <c r="D5" s="8" t="n">
        <v>2</v>
      </c>
      <c r="E5" s="9" t="inlineStr">
        <is>
          <t>41 min from garage</t>
        </is>
      </c>
    </row>
    <row r="6" ht="14" customHeight="1">
      <c r="A6" s="27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4574 Summerhill Dr, Doylestown, PA 18902</t>
        </is>
      </c>
      <c r="C7" s="9" t="inlineStr">
        <is>
          <t>Shorr</t>
        </is>
      </c>
      <c r="D7" s="8" t="n">
        <v>1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9" t="inlineStr">
        <is>
          <t>25 Southwoods Ln, Doylestown, PA 18901</t>
        </is>
      </c>
      <c r="C9" s="9" t="inlineStr">
        <is>
          <t>Dembeck, Dembeck - JC</t>
        </is>
      </c>
      <c r="D9" s="8" t="n">
        <v>2</v>
      </c>
      <c r="E9" s="9" t="inlineStr">
        <is>
          <t>1 min</t>
        </is>
      </c>
    </row>
    <row r="10" ht="14" customHeight="1">
      <c r="A10" s="27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10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26" t="inlineStr">
        <is>
          <t>Start: 1045 N West End Blvd , Quakertown PA | Cap: 13 | Riders: 9 (69%) | Kids Ride Time: 23 min, 30.5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21 Bittersweet Dr, Doylestown, PA 18901</t>
        </is>
      </c>
      <c r="C5" s="9" t="inlineStr">
        <is>
          <t>Thomas</t>
        </is>
      </c>
      <c r="D5" s="8" t="n">
        <v>1</v>
      </c>
      <c r="E5" s="9" t="inlineStr">
        <is>
          <t>38 min from garage</t>
        </is>
      </c>
    </row>
    <row r="6" ht="14" customHeight="1">
      <c r="A6" s="27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1347 Lower State Rd, Chalfont, PA 18914</t>
        </is>
      </c>
      <c r="C7" s="9" t="inlineStr">
        <is>
          <t>Broadhead - JC</t>
        </is>
      </c>
      <c r="D7" s="8" t="n">
        <v>1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451 Cartwell Ave, Warrington, PA 18976</t>
        </is>
      </c>
      <c r="C9" s="9" t="inlineStr">
        <is>
          <t>Gower1, Gower2, Gower3</t>
        </is>
      </c>
      <c r="D9" s="8" t="n">
        <v>3</v>
      </c>
      <c r="E9" s="9" t="inlineStr">
        <is>
          <t>2 min</t>
        </is>
      </c>
    </row>
    <row r="10" ht="16" customHeight="1">
      <c r="A10" s="21" t="inlineStr">
        <is>
          <t>ARRIVE</t>
        </is>
      </c>
      <c r="B10" s="22" t="inlineStr">
        <is>
          <t>828 Elbow Lane, Warrington, PA 18976</t>
        </is>
      </c>
      <c r="C10" s="21" t="inlineStr">
        <is>
          <t>---</t>
        </is>
      </c>
      <c r="D10" s="21" t="inlineStr">
        <is>
          <t>---</t>
        </is>
      </c>
      <c r="E10" s="21" t="inlineStr">
        <is>
          <t>3 min -&gt; ARRIVE</t>
        </is>
      </c>
    </row>
    <row r="11">
      <c r="D11" s="23" t="inlineStr">
        <is>
          <t>Total Riders:</t>
        </is>
      </c>
      <c r="E11" s="24">
        <f>SUM(D5:D9)</f>
        <v/>
      </c>
    </row>
    <row r="12">
      <c r="A12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G - Route Sheet</t>
        </is>
      </c>
    </row>
    <row r="2" ht="16" customHeight="1">
      <c r="A2" s="26" t="inlineStr">
        <is>
          <t>Start: 828 Elbow Lane, Warrington, PA 18976 | Cap: 13 | Riders: 13 (100%) | Kids Ride Time: 1 hr 3 min, 34.9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1821 Willow Ave, Willow Grove, PA 19090</t>
        </is>
      </c>
      <c r="C5" s="9" t="inlineStr">
        <is>
          <t>Glassman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9" t="inlineStr">
        <is>
          <t>1647 Aidenn Lair Rd, Dresher, PA 19025</t>
        </is>
      </c>
      <c r="C7" s="9" t="inlineStr">
        <is>
          <t>Traugott</t>
        </is>
      </c>
      <c r="D7" s="8" t="n">
        <v>1</v>
      </c>
      <c r="E7" s="9" t="inlineStr">
        <is>
          <t>2 min</t>
        </is>
      </c>
    </row>
    <row r="8" ht="14" customHeight="1">
      <c r="A8" s="27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9" t="inlineStr">
        <is>
          <t>562 Coach Rd, Horsham, PA 19044</t>
        </is>
      </c>
      <c r="C9" s="9" t="inlineStr">
        <is>
          <t>Boyd</t>
        </is>
      </c>
      <c r="D9" s="8" t="n">
        <v>1</v>
      </c>
      <c r="E9" s="9" t="inlineStr">
        <is>
          <t>7 min</t>
        </is>
      </c>
    </row>
    <row r="10" ht="14" customHeight="1">
      <c r="A10" s="27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20" t="n">
        <v>7</v>
      </c>
      <c r="B11" s="9" t="inlineStr">
        <is>
          <t>116 Manor Dr, Lansdale, PA 19446-1677</t>
        </is>
      </c>
      <c r="C11" s="9" t="inlineStr">
        <is>
          <t>Ratcliffe</t>
        </is>
      </c>
      <c r="D11" s="8" t="n">
        <v>1</v>
      </c>
      <c r="E11" s="9" t="inlineStr">
        <is>
          <t>6 min</t>
        </is>
      </c>
    </row>
    <row r="12" ht="14" customHeight="1">
      <c r="A12" s="27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108 Country Ln, Lansdale, PA 19446</t>
        </is>
      </c>
      <c r="C13" s="9" t="inlineStr">
        <is>
          <t>Strauss1, Strauss2</t>
        </is>
      </c>
      <c r="D13" s="8" t="n">
        <v>2</v>
      </c>
      <c r="E13" s="9" t="inlineStr">
        <is>
          <t>2 min</t>
        </is>
      </c>
    </row>
    <row r="14" ht="16" customHeight="1">
      <c r="A14" s="21" t="inlineStr">
        <is>
          <t>ARRIVE</t>
        </is>
      </c>
      <c r="B14" s="22" t="inlineStr">
        <is>
          <t>828 Elbow Lane, Warrington, PA 18976</t>
        </is>
      </c>
      <c r="C14" s="21" t="inlineStr">
        <is>
          <t>---</t>
        </is>
      </c>
      <c r="D14" s="21" t="inlineStr">
        <is>
          <t>---</t>
        </is>
      </c>
      <c r="E14" s="21" t="inlineStr">
        <is>
          <t>18 min -&gt; ARRIVE</t>
        </is>
      </c>
    </row>
    <row r="15">
      <c r="D15" s="23" t="inlineStr">
        <is>
          <t>Total Riders:</t>
        </is>
      </c>
      <c r="E15" s="24">
        <f>SUM(D5:D13)</f>
        <v/>
      </c>
    </row>
    <row r="16">
      <c r="A16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H - Route Sheet</t>
        </is>
      </c>
    </row>
    <row r="2" ht="16" customHeight="1">
      <c r="A2" s="26" t="inlineStr">
        <is>
          <t>Start: 828 Elbow Lane, Warrington, PA 18976 | Cap: 16 | Riders: 16 (100%) | Kids Ride Time: 33 min, 22.2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515 Highland Ave, Ambler, PA 19002</t>
        </is>
      </c>
      <c r="C5" s="9" t="inlineStr">
        <is>
          <t>Rahill</t>
        </is>
      </c>
      <c r="D5" s="8" t="n">
        <v>1</v>
      </c>
      <c r="E5" s="9" t="inlineStr">
        <is>
          <t>20 min from garage</t>
        </is>
      </c>
    </row>
    <row r="6" ht="14" customHeight="1">
      <c r="A6" s="27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1426 Shetland Pl, Ambler, PA 19002</t>
        </is>
      </c>
      <c r="C7" s="9" t="inlineStr">
        <is>
          <t>Merenlender1, Merenlender2</t>
        </is>
      </c>
      <c r="D7" s="8" t="n">
        <v>2</v>
      </c>
      <c r="E7" s="9" t="inlineStr">
        <is>
          <t>4 min</t>
        </is>
      </c>
    </row>
    <row r="8" ht="14" customHeight="1">
      <c r="A8" s="27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20" t="n">
        <v>5</v>
      </c>
      <c r="B9" s="9" t="inlineStr">
        <is>
          <t>103 Derby Ct, Maple Glen, PA 19002</t>
        </is>
      </c>
      <c r="C9" s="9" t="inlineStr">
        <is>
          <t>Forti, Forti - JC</t>
        </is>
      </c>
      <c r="D9" s="8" t="n">
        <v>2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1700 Thornbury Ln, Maple Glen, PA 19002</t>
        </is>
      </c>
      <c r="C10" s="7" t="inlineStr">
        <is>
          <t>Marmer</t>
        </is>
      </c>
      <c r="D10" s="6" t="n">
        <v>1</v>
      </c>
      <c r="E10" s="7" t="inlineStr">
        <is>
          <t>4 min</t>
        </is>
      </c>
    </row>
    <row r="11" ht="14" customHeight="1">
      <c r="A11" s="20" t="n">
        <v>7</v>
      </c>
      <c r="B11" s="9" t="inlineStr">
        <is>
          <t>1700 Penns Ln, Ambler, PA 19002</t>
        </is>
      </c>
      <c r="C11" s="9" t="inlineStr">
        <is>
          <t>Lazor</t>
        </is>
      </c>
      <c r="D11" s="8" t="n">
        <v>1</v>
      </c>
      <c r="E11" s="9" t="inlineStr">
        <is>
          <t>2 min</t>
        </is>
      </c>
    </row>
    <row r="12" ht="14" customHeight="1">
      <c r="A12" s="27" t="n">
        <v>8</v>
      </c>
      <c r="B12" s="7" t="inlineStr">
        <is>
          <t>1703 Clinton Dr, Ambler, PA 19002</t>
        </is>
      </c>
      <c r="C12" s="7" t="inlineStr">
        <is>
          <t>Porter, Porter - JC</t>
        </is>
      </c>
      <c r="D12" s="6" t="n">
        <v>2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309 Stout Rd, Ambler, PA 19002</t>
        </is>
      </c>
      <c r="C13" s="9" t="inlineStr">
        <is>
          <t>Saretsky1, Saretsky2</t>
        </is>
      </c>
      <c r="D13" s="8" t="n">
        <v>2</v>
      </c>
      <c r="E13" s="9" t="inlineStr">
        <is>
          <t>2 min</t>
        </is>
      </c>
    </row>
    <row r="14" ht="14" customHeight="1">
      <c r="A14" s="27" t="n">
        <v>10</v>
      </c>
      <c r="B14" s="7" t="inlineStr">
        <is>
          <t>943 Langdon Ave, Horsham, PA 19044</t>
        </is>
      </c>
      <c r="C14" s="7" t="inlineStr">
        <is>
          <t>Yannuzzi</t>
        </is>
      </c>
      <c r="D14" s="6" t="n">
        <v>1</v>
      </c>
      <c r="E14" s="7" t="inlineStr">
        <is>
          <t>4 min</t>
        </is>
      </c>
    </row>
    <row r="15" ht="16" customHeight="1">
      <c r="A15" s="21" t="inlineStr">
        <is>
          <t>ARRIVE</t>
        </is>
      </c>
      <c r="B15" s="22" t="inlineStr">
        <is>
          <t>828 Elbow Lane, Warrington, PA 18976</t>
        </is>
      </c>
      <c r="C15" s="21" t="inlineStr">
        <is>
          <t>---</t>
        </is>
      </c>
      <c r="D15" s="21" t="inlineStr">
        <is>
          <t>---</t>
        </is>
      </c>
      <c r="E15" s="21" t="inlineStr">
        <is>
          <t>12 min -&gt; ARRIVE</t>
        </is>
      </c>
    </row>
    <row r="16">
      <c r="D16" s="23" t="inlineStr">
        <is>
          <t>Total Riders:</t>
        </is>
      </c>
      <c r="E16" s="24">
        <f>SUM(D5:D14)</f>
        <v/>
      </c>
    </row>
    <row r="17">
      <c r="A17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2026-03-20T20:14:50Z</dcterms:created>
  <dcterms:modified xsi:type="dcterms:W3CDTF">2026-03-20T20:14:50Z</dcterms:modified>
</cp:coreProperties>
</file>