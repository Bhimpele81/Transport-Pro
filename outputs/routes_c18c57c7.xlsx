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 Elbow Lane Day Camp — Vehicle Route Plan</t>
        </is>
      </c>
    </row>
    <row r="2" ht="18" customHeight="1">
      <c r="A2" s="2" t="inlineStr">
        <is>
          <t>All vehicles finish at: 828 Elbow Lane, Warrington, PA 18976  |  Clustered by real street-address proximity (OpenStreetMap)  |  Drive times via OSRM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Drive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 |  Philadelphia → Hatboro → Warwick → Jamison</t>
        </is>
      </c>
      <c r="C4" s="4" t="n">
        <v>5</v>
      </c>
      <c r="D4" s="4" t="n">
        <v>5</v>
      </c>
      <c r="E4" s="4" t="n">
        <v>3</v>
      </c>
      <c r="F4" s="4" t="inlineStr">
        <is>
          <t>1 hr 2 min</t>
        </is>
      </c>
      <c r="G4" s="4" t="inlineStr">
        <is>
          <t>24.1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 |  Richboro → Richboro → Ivyland → Hatboro</t>
        </is>
      </c>
      <c r="C5" s="6" t="n">
        <v>13</v>
      </c>
      <c r="D5" s="6" t="n">
        <v>13</v>
      </c>
      <c r="E5" s="6" t="n">
        <v>6</v>
      </c>
      <c r="F5" s="6" t="inlineStr">
        <is>
          <t>1 hr 8 min</t>
        </is>
      </c>
      <c r="G5" s="6" t="inlineStr">
        <is>
          <t>28.9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 |  East Norriton → Lansdale → Ambler → Horsham</t>
        </is>
      </c>
      <c r="C6" s="4" t="n">
        <v>13</v>
      </c>
      <c r="D6" s="4" t="n">
        <v>12</v>
      </c>
      <c r="E6" s="4" t="n">
        <v>7</v>
      </c>
      <c r="F6" s="4" t="inlineStr">
        <is>
          <t>1 hr 19 min</t>
        </is>
      </c>
      <c r="G6" s="4" t="inlineStr">
        <is>
          <t>37.5 mi</t>
        </is>
      </c>
      <c r="H6" s="4" t="inlineStr">
        <is>
          <t>92%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 |  Quakertown PA → Ambler → Chalfont → Doylestown</t>
        </is>
      </c>
      <c r="C7" s="6" t="n">
        <v>13</v>
      </c>
      <c r="D7" s="6" t="n">
        <v>13</v>
      </c>
      <c r="E7" s="6" t="n">
        <v>8</v>
      </c>
      <c r="F7" s="6" t="inlineStr">
        <is>
          <t>1 hr 38 min</t>
        </is>
      </c>
      <c r="G7" s="6" t="inlineStr">
        <is>
          <t>50.4 mi</t>
        </is>
      </c>
      <c r="H7" s="6" t="inlineStr">
        <is>
          <t>100%</t>
        </is>
      </c>
    </row>
    <row r="8" ht="15" customHeight="1">
      <c r="A8" s="4" t="inlineStr">
        <is>
          <t>Vehicle E</t>
        </is>
      </c>
      <c r="B8" s="5" t="inlineStr">
        <is>
          <t>1045 N West End Blvd , Quakertown PA  |  Quakertown PA → Doylestown</t>
        </is>
      </c>
      <c r="C8" s="4" t="n">
        <v>13</v>
      </c>
      <c r="D8" s="4" t="n">
        <v>11</v>
      </c>
      <c r="E8" s="4" t="n">
        <v>6</v>
      </c>
      <c r="F8" s="4" t="inlineStr">
        <is>
          <t>1 hr 1 min</t>
        </is>
      </c>
      <c r="G8" s="4" t="inlineStr">
        <is>
          <t>33.7 mi</t>
        </is>
      </c>
      <c r="H8" s="4" t="inlineStr">
        <is>
          <t>85%</t>
        </is>
      </c>
    </row>
    <row r="9" ht="15" customHeight="1">
      <c r="A9" s="8" t="inlineStr">
        <is>
          <t>Vehicle F</t>
        </is>
      </c>
      <c r="B9" s="9" t="inlineStr">
        <is>
          <t>1045 N West End Blvd , Quakertown PA  |  Quakertown PA → Warrington</t>
        </is>
      </c>
      <c r="C9" s="8" t="n">
        <v>13</v>
      </c>
      <c r="D9" s="8" t="n">
        <v>7</v>
      </c>
      <c r="E9" s="8" t="n">
        <v>4</v>
      </c>
      <c r="F9" s="8" t="inlineStr">
        <is>
          <t>1 hr</t>
        </is>
      </c>
      <c r="G9" s="8" t="inlineStr">
        <is>
          <t>32.4 mi</t>
        </is>
      </c>
      <c r="H9" s="8" t="inlineStr">
        <is>
          <t>54% ⚠</t>
        </is>
      </c>
    </row>
    <row r="10" ht="15" customHeight="1">
      <c r="A10" s="4" t="inlineStr">
        <is>
          <t>Vehicle G</t>
        </is>
      </c>
      <c r="B10" s="5" t="inlineStr">
        <is>
          <t>828 Elbow Lane, Warrington, PA 18976  |  Warrington → Willow Grove → Dresher → Ambler</t>
        </is>
      </c>
      <c r="C10" s="4" t="n">
        <v>16</v>
      </c>
      <c r="D10" s="4" t="n">
        <v>16</v>
      </c>
      <c r="E10" s="4" t="n">
        <v>11</v>
      </c>
      <c r="F10" s="4" t="inlineStr">
        <is>
          <t>1 hr 17 min</t>
        </is>
      </c>
      <c r="G10" s="4" t="inlineStr">
        <is>
          <t>31.7 mi</t>
        </is>
      </c>
      <c r="H10" s="4" t="inlineStr">
        <is>
          <t>100%</t>
        </is>
      </c>
    </row>
    <row r="11" ht="18" customHeight="1">
      <c r="A11" s="10" t="inlineStr">
        <is>
          <t>TOTAL 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</row>
    <row r="13" ht="28" customHeight="1">
      <c r="A13" s="12" t="inlineStr">
        <is>
          <t>⚠  Orange rows are below 60% capacity.  These vehicles serve geographically isolated stops that cannot be merged without splitting neighbour groups.  Consider reducing the number of vehicles in the fleet config.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A  —  Route Sheet</t>
        </is>
      </c>
    </row>
    <row r="2" ht="16" customHeight="1">
      <c r="A2" s="14" t="inlineStr">
        <is>
          <t>Start: 7826 Loretto Ave, Philadelphia, PA   |   Cap: 5   |   Riders: 5 (100%)   |   Total Route: 1 hr 2 min, 24.1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 Timber Ln, Hatboro, PA 19040</t>
        </is>
      </c>
      <c r="C5" s="5" t="inlineStr">
        <is>
          <t>Boyd1, Boyd2</t>
        </is>
      </c>
      <c r="D5" s="4" t="n">
        <v>2</v>
      </c>
      <c r="E5" s="5" t="inlineStr">
        <is>
          <t>31 min from garage</t>
        </is>
      </c>
    </row>
    <row r="6" ht="14" customHeight="1">
      <c r="A6" s="21" t="n">
        <v>2</v>
      </c>
      <c r="B6" s="7" t="inlineStr">
        <is>
          <t>103 Tree Top Ct, Warwick, PA 18974</t>
        </is>
      </c>
      <c r="C6" s="7" t="inlineStr">
        <is>
          <t>Balzer - JC</t>
        </is>
      </c>
      <c r="D6" s="6" t="n">
        <v>1</v>
      </c>
      <c r="E6" s="7" t="inlineStr">
        <is>
          <t>10 min</t>
        </is>
      </c>
    </row>
    <row r="7" ht="14" customHeight="1">
      <c r="A7" s="20" t="n">
        <v>3</v>
      </c>
      <c r="B7" s="5" t="inlineStr">
        <is>
          <t>1327 Dogwood Dr, Jamison, PA 18929</t>
        </is>
      </c>
      <c r="C7" s="5" t="inlineStr">
        <is>
          <t>Etkowicz1, Etkowicz2</t>
        </is>
      </c>
      <c r="D7" s="4" t="n">
        <v>2</v>
      </c>
      <c r="E7" s="5" t="inlineStr">
        <is>
          <t>7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—</t>
        </is>
      </c>
      <c r="D8" s="22" t="inlineStr">
        <is>
          <t>—</t>
        </is>
      </c>
      <c r="E8" s="22" t="inlineStr">
        <is>
          <t>9 min →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B  —  Route Sheet</t>
        </is>
      </c>
    </row>
    <row r="2" ht="16" customHeight="1">
      <c r="A2" s="14" t="inlineStr">
        <is>
          <t>Start: 12 Rachel Rd, Richboro, PA   |   Cap: 13   |   Riders: 13 (100%)   |   Total Route: 1 hr 8 min, 28.9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>
        <is>
          <t>1 min from garage</t>
        </is>
      </c>
    </row>
    <row r="6" ht="14" customHeight="1">
      <c r="A6" s="21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2546 Damian Dr, Hatboro, PA 19040</t>
        </is>
      </c>
      <c r="C8" s="7" t="inlineStr">
        <is>
          <t>Stagg1, Stagg2, Stagg3</t>
        </is>
      </c>
      <c r="D8" s="6" t="n">
        <v>3</v>
      </c>
      <c r="E8" s="7" t="inlineStr">
        <is>
          <t>13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14 min</t>
        </is>
      </c>
    </row>
    <row r="10" ht="14" customHeight="1">
      <c r="A10" s="21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15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C  —  Route Sheet</t>
        </is>
      </c>
    </row>
    <row r="2" ht="16" customHeight="1">
      <c r="A2" s="14" t="inlineStr">
        <is>
          <t>Start: 2611 DeKalb Pike, East Norriton, PA   |   Cap: 13   |   Riders: 12 (92%)   |   Total Route: 1 hr 19 min, 37.5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garage</t>
        </is>
      </c>
    </row>
    <row r="6" ht="14" customHeight="1">
      <c r="A6" s="21" t="n">
        <v>2</v>
      </c>
      <c r="B6" s="7" t="inlineStr">
        <is>
          <t>1703 Clinton Dr, Ambler, PA 19002</t>
        </is>
      </c>
      <c r="C6" s="7" t="inlineStr">
        <is>
          <t>Porter, Porter - JC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5" t="inlineStr">
        <is>
          <t>309 Stout Rd, Ambler, PA 19002</t>
        </is>
      </c>
      <c r="C7" s="5" t="inlineStr">
        <is>
          <t>Saretsky1, Saretsky2</t>
        </is>
      </c>
      <c r="D7" s="4" t="n">
        <v>2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20" t="n">
        <v>5</v>
      </c>
      <c r="B9" s="5" t="inlineStr">
        <is>
          <t>1426 Shetland Pl, Ambler, PA 19002</t>
        </is>
      </c>
      <c r="C9" s="5" t="inlineStr">
        <is>
          <t>Merenlender1, Merenlender2</t>
        </is>
      </c>
      <c r="D9" s="4" t="n">
        <v>2</v>
      </c>
      <c r="E9" s="5" t="inlineStr">
        <is>
          <t>6 min</t>
        </is>
      </c>
    </row>
    <row r="10" ht="14" customHeight="1">
      <c r="A10" s="21" t="n">
        <v>6</v>
      </c>
      <c r="B10" s="7" t="inlineStr">
        <is>
          <t>1 Villa Dr, Ambler, PA 19002</t>
        </is>
      </c>
      <c r="C10" s="7" t="inlineStr">
        <is>
          <t>Huberman1, Huberman2</t>
        </is>
      </c>
      <c r="D10" s="6" t="n">
        <v>2</v>
      </c>
      <c r="E10" s="7" t="inlineStr">
        <is>
          <t>4 min</t>
        </is>
      </c>
    </row>
    <row r="11" ht="14" customHeight="1">
      <c r="A11" s="20" t="n">
        <v>7</v>
      </c>
      <c r="B11" s="5" t="inlineStr">
        <is>
          <t>515 Highland Ave, Ambler, PA 19002</t>
        </is>
      </c>
      <c r="C11" s="5" t="inlineStr">
        <is>
          <t>Rahill</t>
        </is>
      </c>
      <c r="D11" s="4" t="n">
        <v>1</v>
      </c>
      <c r="E11" s="5" t="inlineStr">
        <is>
          <t>1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20 min →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D  —  Route Sheet</t>
        </is>
      </c>
    </row>
    <row r="2" ht="16" customHeight="1">
      <c r="A2" s="14" t="inlineStr">
        <is>
          <t>Start: 1045 N West End Blvd , Quakertown PA   |   Cap: 13   |   Riders: 13 (100%)   |   Total Route: 1 hr 38 min, 50.4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880 Wooded Pond Rd, Ambler, PA 19002</t>
        </is>
      </c>
      <c r="C5" s="5" t="inlineStr">
        <is>
          <t>Janson1, Janson2</t>
        </is>
      </c>
      <c r="D5" s="4" t="n">
        <v>2</v>
      </c>
      <c r="E5" s="5" t="inlineStr">
        <is>
          <t>40 min from garage</t>
        </is>
      </c>
    </row>
    <row r="6" ht="14" customHeight="1">
      <c r="A6" s="21" t="n">
        <v>2</v>
      </c>
      <c r="B6" s="7" t="inlineStr">
        <is>
          <t>420 Wyndon Rd, Ambler, PA 19002</t>
        </is>
      </c>
      <c r="C6" s="7" t="inlineStr">
        <is>
          <t>Honer1, Honer2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5" t="inlineStr">
        <is>
          <t>508 Blackburn Ct, Chalfont, PA 18914</t>
        </is>
      </c>
      <c r="C7" s="5" t="inlineStr">
        <is>
          <t>Matkowski</t>
        </is>
      </c>
      <c r="D7" s="4" t="n">
        <v>1</v>
      </c>
      <c r="E7" s="5" t="inlineStr">
        <is>
          <t>15 min</t>
        </is>
      </c>
    </row>
    <row r="8" ht="14" customHeight="1">
      <c r="A8" s="21" t="n">
        <v>4</v>
      </c>
      <c r="B8" s="7" t="inlineStr">
        <is>
          <t>210 Somerset Cir, Chalfont, PA 18914</t>
        </is>
      </c>
      <c r="C8" s="7" t="inlineStr">
        <is>
          <t>Evans</t>
        </is>
      </c>
      <c r="D8" s="6" t="n">
        <v>1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1347 Lower State Rd, Chalfont, PA 18914</t>
        </is>
      </c>
      <c r="C9" s="5" t="inlineStr">
        <is>
          <t>Broadhead - JC</t>
        </is>
      </c>
      <c r="D9" s="4" t="n">
        <v>1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37 Brinker Dr, Doylestown, PA 18901</t>
        </is>
      </c>
      <c r="C10" s="7" t="inlineStr">
        <is>
          <t>Heinig1, Heinig2, Heinig3</t>
        </is>
      </c>
      <c r="D10" s="6" t="n">
        <v>3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21 Bittersweet Dr, Doylestown, PA 18901</t>
        </is>
      </c>
      <c r="C11" s="5" t="inlineStr">
        <is>
          <t>Thomas</t>
        </is>
      </c>
      <c r="D11" s="4" t="n">
        <v>1</v>
      </c>
      <c r="E11" s="5" t="inlineStr">
        <is>
          <t>6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10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12 min →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E  —  Route Sheet</t>
        </is>
      </c>
    </row>
    <row r="2" ht="16" customHeight="1">
      <c r="A2" s="14" t="inlineStr">
        <is>
          <t>Start: 1045 N West End Blvd , Quakertown PA   |   Cap: 13   |   Riders: 11 (85%)   |   Total Route: 1 hr 1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>
        <is>
          <t>41 min from garage</t>
        </is>
      </c>
    </row>
    <row r="6" ht="14" customHeight="1">
      <c r="A6" s="21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10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F  —  Route Sheet</t>
        </is>
      </c>
    </row>
    <row r="2" ht="16" customHeight="1">
      <c r="A2" s="27" t="inlineStr">
        <is>
          <t>Start: 1045 N West End Blvd , Quakertown PA   |   Cap: 13   |   Riders: 7 (54%)   |   Total Route: 1 hr, 32.4 mi  ⚠ Below 75%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1514 Huntly Dr, Warrington, PA 18976</t>
        </is>
      </c>
      <c r="C5" s="5" t="inlineStr">
        <is>
          <t>Katchur</t>
        </is>
      </c>
      <c r="D5" s="4" t="n">
        <v>1</v>
      </c>
      <c r="E5" s="5" t="inlineStr">
        <is>
          <t>44 min from garage</t>
        </is>
      </c>
    </row>
    <row r="6" ht="14" customHeight="1">
      <c r="A6" s="21" t="n">
        <v>2</v>
      </c>
      <c r="B6" s="7" t="inlineStr">
        <is>
          <t>1411 W Fernbrook Dr, Warrington, PA 18976</t>
        </is>
      </c>
      <c r="C6" s="7" t="inlineStr">
        <is>
          <t>Kirshe1, Kirshe2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8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2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—</t>
        </is>
      </c>
      <c r="D9" s="22" t="inlineStr">
        <is>
          <t>—</t>
        </is>
      </c>
      <c r="E9" s="22" t="inlineStr">
        <is>
          <t>3 min →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G  —  Route Sheet</t>
        </is>
      </c>
    </row>
    <row r="2" ht="16" customHeight="1">
      <c r="A2" s="14" t="inlineStr">
        <is>
          <t>Start: 828 Elbow Lane, Warrington, PA 18976   |   Cap: 16   |   Riders: 16 (100%)   |   Total Route: 1 hr 17 min, 31.7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>
        <is>
          <t>20 min from garage</t>
        </is>
      </c>
    </row>
    <row r="6" ht="14" customHeight="1">
      <c r="A6" s="21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1008 Meetinghouse Rd, Ambler, PA 19002</t>
        </is>
      </c>
      <c r="C9" s="5" t="inlineStr">
        <is>
          <t>Galvao Palmer1, Galvao Palmer2</t>
        </is>
      </c>
      <c r="D9" s="4" t="n">
        <v>2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103 Derby Ct, Maple Glen, PA 19002</t>
        </is>
      </c>
      <c r="C10" s="7" t="inlineStr">
        <is>
          <t>Forti, Forti - JC</t>
        </is>
      </c>
      <c r="D10" s="6" t="n">
        <v>2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1700 Thornbury Ln, Maple Glen, PA 19002</t>
        </is>
      </c>
      <c r="C11" s="5" t="inlineStr">
        <is>
          <t>Marmer</t>
        </is>
      </c>
      <c r="D11" s="4" t="n">
        <v>1</v>
      </c>
      <c r="E11" s="5" t="inlineStr">
        <is>
          <t>4 min</t>
        </is>
      </c>
    </row>
    <row r="12" ht="14" customHeight="1">
      <c r="A12" s="21" t="n">
        <v>8</v>
      </c>
      <c r="B12" s="7" t="inlineStr">
        <is>
          <t>1700 Penns Ln, Ambler, PA 19002</t>
        </is>
      </c>
      <c r="C12" s="7" t="inlineStr">
        <is>
          <t>Lazor</t>
        </is>
      </c>
      <c r="D12" s="6" t="n">
        <v>1</v>
      </c>
      <c r="E12" s="7" t="inlineStr">
        <is>
          <t>2 min</t>
        </is>
      </c>
    </row>
    <row r="13" ht="14" customHeight="1">
      <c r="A13" s="20" t="n">
        <v>9</v>
      </c>
      <c r="B13" s="5" t="inlineStr">
        <is>
          <t>116 Manor Dr, Lansdale, PA 19446-1677</t>
        </is>
      </c>
      <c r="C13" s="5" t="inlineStr">
        <is>
          <t>Ratcliffe</t>
        </is>
      </c>
      <c r="D13" s="4" t="n">
        <v>1</v>
      </c>
      <c r="E13" s="5" t="inlineStr">
        <is>
          <t>14 min</t>
        </is>
      </c>
    </row>
    <row r="14" ht="14" customHeight="1">
      <c r="A14" s="21" t="n">
        <v>10</v>
      </c>
      <c r="B14" s="7" t="inlineStr">
        <is>
          <t>100 Terwood Ln, Lansdale, PA 19446</t>
        </is>
      </c>
      <c r="C14" s="7" t="inlineStr">
        <is>
          <t>Himpele</t>
        </is>
      </c>
      <c r="D14" s="6" t="n">
        <v>1</v>
      </c>
      <c r="E14" s="7" t="inlineStr">
        <is>
          <t>1 min</t>
        </is>
      </c>
    </row>
    <row r="15" ht="14" customHeight="1">
      <c r="A15" s="20" t="n">
        <v>11</v>
      </c>
      <c r="B15" s="5" t="inlineStr">
        <is>
          <t>108 Country Ln, Lansdale, PA 19446</t>
        </is>
      </c>
      <c r="C15" s="5" t="inlineStr">
        <is>
          <t>Strauss1, Strauss2</t>
        </is>
      </c>
      <c r="D15" s="4" t="n">
        <v>2</v>
      </c>
      <c r="E15" s="5" t="inlineStr">
        <is>
          <t>2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—</t>
        </is>
      </c>
      <c r="D16" s="22" t="inlineStr">
        <is>
          <t>—</t>
        </is>
      </c>
      <c r="E16" s="22" t="inlineStr">
        <is>
          <t>18 min →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2026-03-18T05:00:13Z</dcterms:created>
  <dcterms:modified xsi:type="dcterms:W3CDTF">2026-03-18T05:00:13Z</dcterms:modified>
</cp:coreProperties>
</file>